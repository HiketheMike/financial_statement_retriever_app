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ual Studio Projects\Financial Statement Data Retriever\PVIAM\final_statements_standardized\"/>
    </mc:Choice>
  </mc:AlternateContent>
  <xr:revisionPtr revIDLastSave="0" documentId="13_ncr:1_{EDF2FF22-2496-4559-A0C9-EF7783B85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2" i="1" l="1"/>
  <c r="F122" i="1"/>
  <c r="G122" i="1"/>
  <c r="D122" i="1"/>
  <c r="E116" i="1"/>
  <c r="F116" i="1"/>
  <c r="G116" i="1"/>
  <c r="D116" i="1"/>
  <c r="E110" i="1"/>
  <c r="F110" i="1"/>
  <c r="G110" i="1"/>
  <c r="D110" i="1"/>
  <c r="G69" i="1"/>
  <c r="E69" i="1"/>
  <c r="D69" i="1"/>
  <c r="F69" i="1"/>
  <c r="F67" i="1"/>
  <c r="G67" i="1"/>
  <c r="E67" i="1"/>
  <c r="I99" i="1"/>
  <c r="D63" i="1"/>
  <c r="D67" i="1" s="1"/>
  <c r="G38" i="1"/>
  <c r="G37" i="1" s="1"/>
  <c r="F31" i="1"/>
  <c r="G31" i="1"/>
  <c r="E27" i="1"/>
  <c r="F27" i="1"/>
  <c r="G27" i="1"/>
  <c r="D27" i="1"/>
  <c r="D19" i="1" s="1"/>
  <c r="E7" i="1"/>
  <c r="F7" i="1"/>
  <c r="G7" i="1"/>
  <c r="D7" i="1"/>
  <c r="E4" i="1"/>
  <c r="F4" i="1"/>
  <c r="G4" i="1"/>
  <c r="D4" i="1"/>
  <c r="D14" i="1"/>
  <c r="E14" i="1"/>
  <c r="G14" i="1"/>
  <c r="F14" i="1"/>
  <c r="D9" i="1"/>
  <c r="E9" i="1"/>
  <c r="G9" i="1"/>
  <c r="F9" i="1"/>
  <c r="E31" i="1"/>
  <c r="E24" i="1"/>
  <c r="F24" i="1"/>
  <c r="G24" i="1"/>
  <c r="E47" i="1"/>
  <c r="F47" i="1"/>
  <c r="G47" i="1"/>
  <c r="D24" i="1"/>
  <c r="E21" i="1"/>
  <c r="F21" i="1"/>
  <c r="G21" i="1"/>
  <c r="D21" i="1"/>
  <c r="D38" i="1"/>
  <c r="D47" i="1"/>
  <c r="E38" i="1"/>
  <c r="E37" i="1" s="1"/>
  <c r="F38" i="1"/>
  <c r="F37" i="1" s="1"/>
  <c r="F70" i="1" l="1"/>
  <c r="G70" i="1"/>
  <c r="G72" i="1" s="1"/>
  <c r="D70" i="1"/>
  <c r="D72" i="1" s="1"/>
  <c r="E70" i="1"/>
  <c r="E72" i="1" s="1"/>
  <c r="G20" i="1"/>
  <c r="G19" i="1" s="1"/>
  <c r="F72" i="1"/>
  <c r="G54" i="1"/>
  <c r="F19" i="1"/>
  <c r="E19" i="1"/>
  <c r="G3" i="1"/>
  <c r="F54" i="1"/>
  <c r="E54" i="1"/>
  <c r="D37" i="1"/>
  <c r="D54" i="1" s="1"/>
  <c r="G34" i="1" l="1"/>
  <c r="E3" i="1"/>
  <c r="E34" i="1" s="1"/>
  <c r="F3" i="1" l="1"/>
  <c r="F34" i="1" s="1"/>
  <c r="D3" i="1"/>
  <c r="D34" i="1" s="1"/>
</calcChain>
</file>

<file path=xl/sharedStrings.xml><?xml version="1.0" encoding="utf-8"?>
<sst xmlns="http://schemas.openxmlformats.org/spreadsheetml/2006/main" count="124" uniqueCount="93">
  <si>
    <t>2020</t>
  </si>
  <si>
    <t>2021</t>
  </si>
  <si>
    <t>2023</t>
  </si>
  <si>
    <t>2024</t>
  </si>
  <si>
    <t>item</t>
  </si>
  <si>
    <t>I. Tiền Và Các Khoản Tương Đương Tiền</t>
  </si>
  <si>
    <t>II. Các Khoản Đầu Tư Tài Chính Ngắn Hạn</t>
  </si>
  <si>
    <t>III. Các Khoản Phải Thu Ngắn Hạn</t>
  </si>
  <si>
    <t>1. Trả Trước Cho Người Bán</t>
  </si>
  <si>
    <t>2. Phải Thu Hoạt Động Nghiệp Vụ</t>
  </si>
  <si>
    <t>2. Thuế Giá Trị Gia Tăng Được Khấu Trừ</t>
  </si>
  <si>
    <t>2. Thuế Và Các Khoản Khác Phải Thu Nhà Nước</t>
  </si>
  <si>
    <t>3. Các Khoản Phải Thu Khác</t>
  </si>
  <si>
    <t>4. Dự Phòng Phải Thu Ngắn Hạn Khó Đòi</t>
  </si>
  <si>
    <t>IV. Tài Sản Ngắn Hạn Khác</t>
  </si>
  <si>
    <t>I. Tài Sản Cố Định</t>
  </si>
  <si>
    <t>1. Tài Sản Cố Định Hữu Hình</t>
  </si>
  <si>
    <t>Nguyên Giá</t>
  </si>
  <si>
    <t>Giá Trị Hao Mòn Lũy Kế</t>
  </si>
  <si>
    <t>2. Tài Sản Cố Định Vô Hình</t>
  </si>
  <si>
    <t>II. Các Khoản Đầu Tư Tài Chính Dài Hạn</t>
  </si>
  <si>
    <t>Chi Phí Trả Trước Dài Hạn</t>
  </si>
  <si>
    <t>III. Tài Sản Dài Hạn Khác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</si>
  <si>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</si>
  <si>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</si>
  <si>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</si>
  <si>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</si>
  <si>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</si>
  <si>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Doanh Thu Chưa Thực Hiện Ngắn Hạn</t>
  </si>
  <si>
    <t>1. Vốn Đầu Tư Của Chủ Sở Hữu</t>
  </si>
  <si>
    <t>Thặng Dư Vốn Cổ Phần</t>
  </si>
  <si>
    <t>2. Quỹ Dự Phòng Tài Chính</t>
  </si>
  <si>
    <t>3. Quỹ Khác Thuộc Vốn Chủ Sở Hữu</t>
  </si>
  <si>
    <t>4. Lợi Nhuận Sau Thuế Chưa Phân Phối</t>
  </si>
  <si>
    <t>BALANCE SHEET</t>
  </si>
  <si>
    <t>1. Chi Phí Trả Trước Ngắn Hạn</t>
  </si>
  <si>
    <t xml:space="preserve">ASSETS </t>
  </si>
  <si>
    <t>CURRENT ASSETS</t>
  </si>
  <si>
    <t>TOTAL ASSETS</t>
  </si>
  <si>
    <t>LONG-TERM ASSETS</t>
  </si>
  <si>
    <t>CURRENT LIABILITY</t>
  </si>
  <si>
    <t>LIABILITY AND SHAREHOLDER'S EQUITY</t>
  </si>
  <si>
    <t>SHAREHOLDER'S EQUITY</t>
  </si>
  <si>
    <t>I. Short-term Debt</t>
  </si>
  <si>
    <t>7. Quỹ khen thưởng, phúc lợi</t>
  </si>
  <si>
    <t>TOTAL LIABILITY AND SHAREHOLDER'S EQUITY</t>
  </si>
  <si>
    <t>Tài Sản Dài Hạn Khác</t>
  </si>
  <si>
    <t>Đầu Tư Dài Hạn Khác</t>
  </si>
  <si>
    <t>3. Tài sản ngắn hạn khác</t>
  </si>
  <si>
    <t>2. Các Khoảng tương Đương Tiền</t>
  </si>
  <si>
    <t>1. Tiền</t>
  </si>
  <si>
    <t>1. Đầu tư Ngắn Hạn</t>
  </si>
  <si>
    <t>Đầu Tư Dài Hạn</t>
  </si>
  <si>
    <t>Đầu Tư Nắm giữ Đến Ngày Đáo Hạn</t>
  </si>
  <si>
    <t>1. Doanh Thu</t>
  </si>
  <si>
    <t>2. Doanh Thu Thuần Về Hoạt Động Kinh Doanh</t>
  </si>
  <si>
    <t>3. Chi Phí Hoạt Động Kinh Doanh, Giá Vốn Hàng Bán</t>
  </si>
  <si>
    <t>4. Lợi Nhuận Gộp Của Hoạt Động Kinh Doanh</t>
  </si>
  <si>
    <t>5. Doanh Thu Hoạt Động Tài Chính</t>
  </si>
  <si>
    <t>6. Chi Phí Tài Chính</t>
  </si>
  <si>
    <t>7. Chi Phí Quản Lý Doanh Nghiệp</t>
  </si>
  <si>
    <t>8. Lợi Nhuận Thuần Từ Hoạt Động Kinh Doanh</t>
  </si>
  <si>
    <t>9. Chi Phí Khác</t>
  </si>
  <si>
    <t>10. Lợi Nhuận Khác</t>
  </si>
  <si>
    <t>11. Tổng Lợi Nhuận Kế Toán Trước Thuế</t>
  </si>
  <si>
    <t>12. Chi Phí Thuế TNDN Hiện Hành</t>
  </si>
  <si>
    <t>13. Lợi Nhuận Sau Thuế Thu Nhập Doanh Nghiệp</t>
  </si>
  <si>
    <t>14. Lãi Cơ Bản Trên Cổ Phiếu</t>
  </si>
  <si>
    <t>INCOME STATEMENT</t>
  </si>
  <si>
    <t>10. Lỗ Khác</t>
  </si>
  <si>
    <t>CASH FLOW STATEMENT</t>
  </si>
  <si>
    <t>FINANCIAL REVENUE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</si>
  <si>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</si>
  <si>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</si>
  <si>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</si>
  <si>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</si>
  <si>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</si>
  <si>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</si>
  <si>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</si>
  <si>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</si>
  <si>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</si>
  <si>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</si>
  <si>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Chi Đầu Tư Góp Vốn Vào Đơn Vị Khác</t>
  </si>
  <si>
    <t>5. Tiền Thu Lãi Tiền Gửi, Tiền Vay, Cổ Tức, Lợi Nhuận Được Chia</t>
  </si>
  <si>
    <t>Lưu Chuyển Tiền Thuần Từ Hoạt Động Đầu Tư</t>
  </si>
  <si>
    <t>1. Tiền Thu Từ Phát Hành Cổ Phiếu, Trái Phiếu, Nhận Vốn Góp Của Chủ Sở Hữu</t>
  </si>
  <si>
    <t>2. Cổ Tức, 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</si>
  <si>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</si>
  <si>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</si>
  <si>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</si>
  <si>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Tiền Và Tương Đương Tiền Cuối Năm</t>
  </si>
  <si>
    <t>GROSS REVENUE</t>
  </si>
  <si>
    <t>REVENUE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</si>
</sst>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3" fillId="2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0" fillId="3" borderId="0" xfId="0" applyFill="1"/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indent="2"/>
    </xf>
    <xf numFmtId="0" fontId="0" fillId="0" borderId="0" xfId="0" applyAlignment="1">
      <alignment horizontal="left" vertical="top" indent="2"/>
    </xf>
    <xf numFmtId="43" fontId="1" fillId="0" borderId="0" xfId="1" applyFont="1" applyAlignment="1">
      <alignment horizontal="left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indent="3"/>
    </xf>
    <xf numFmtId="0" fontId="3" fillId="5" borderId="0" xfId="0" applyFont="1" applyFill="1" applyAlignment="1">
      <alignment horizontal="left" vertical="top"/>
    </xf>
    <xf numFmtId="0" fontId="4" fillId="5" borderId="0" xfId="0" applyFont="1" applyFill="1"/>
    <xf numFmtId="0" fontId="1" fillId="6" borderId="0" xfId="0" applyFont="1" applyFill="1" applyAlignment="1">
      <alignment horizontal="left" vertical="top"/>
    </xf>
    <xf numFmtId="43" fontId="1" fillId="6" borderId="0" xfId="0" applyNumberFormat="1" applyFont="1" applyFill="1" applyAlignment="1">
      <alignment horizontal="left" vertical="top"/>
    </xf>
    <xf numFmtId="0" fontId="0" fillId="0" borderId="0" xfId="0" applyAlignment="1">
      <alignment horizontal="left"/>
    </xf>
    <xf numFmtId="43" fontId="1" fillId="6" borderId="0" xfId="1" applyFont="1" applyFill="1" applyAlignment="1">
      <alignment horizontal="left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6" borderId="0" xfId="0" applyFill="1"/>
    <xf numFmtId="0" fontId="1" fillId="2" borderId="0" xfId="0" applyFont="1" applyFill="1" applyAlignment="1">
      <alignment horizontal="left" vertical="top" indent="1"/>
    </xf>
    <xf numFmtId="0" fontId="0" fillId="0" borderId="0" xfId="0" applyAlignment="1">
      <alignment horizontal="left" indent="2"/>
    </xf>
    <xf numFmtId="43" fontId="3" fillId="5" borderId="0" xfId="1" applyFont="1" applyFill="1"/>
    <xf numFmtId="43" fontId="1" fillId="0" borderId="0" xfId="1" applyFont="1" applyAlignment="1">
      <alignment vertical="top"/>
    </xf>
    <xf numFmtId="43" fontId="2" fillId="0" borderId="0" xfId="1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 indent="3"/>
    </xf>
    <xf numFmtId="0" fontId="0" fillId="2" borderId="0" xfId="0" applyFill="1"/>
    <xf numFmtId="0" fontId="0" fillId="0" borderId="0" xfId="0" applyAlignment="1">
      <alignment horizontal="left" indent="3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29"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00B0F0"/>
      </font>
    </dxf>
    <dxf>
      <font>
        <color rgb="FF00B0F0"/>
      </font>
      <numFmt numFmtId="7" formatCode="#,##0.00_);\(#,##0.00\)"/>
    </dxf>
    <dxf>
      <font>
        <color theme="4"/>
      </font>
    </dxf>
  </dxfs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23"/>
  <sheetViews>
    <sheetView showGridLines="0" tabSelected="1" zoomScale="85" zoomScaleNormal="85" workbookViewId="0">
      <pane xSplit="2" ySplit="1" topLeftCell="D77" activePane="bottomRight" state="frozen"/>
      <selection pane="topRight" activeCell="B1" sqref="B1"/>
      <selection pane="bottomLeft" activeCell="A2" sqref="A2"/>
      <selection pane="bottomRight" activeCell="B83" sqref="B83"/>
    </sheetView>
  </sheetViews>
  <sheetFormatPr defaultRowHeight="14.5" x14ac:dyDescent="0.35"/>
  <cols>
    <col min="1" max="1" width="44.81640625" bestFit="1" customWidth="1"/>
    <col min="2" max="3" width="59.1796875" customWidth="1"/>
    <col min="4" max="4" width="19.08984375" bestFit="1" customWidth="1"/>
    <col min="5" max="6" width="19.54296875" bestFit="1" customWidth="1"/>
    <col min="7" max="7" width="21.1796875" bestFit="1" customWidth="1"/>
  </cols>
  <sheetData>
    <row r="1" spans="2:16" s="10" customFormat="1" x14ac:dyDescent="0.35">
      <c r="B1" s="23" t="s">
        <v>34</v>
      </c>
      <c r="C1" s="24"/>
      <c r="D1" s="24" t="s">
        <v>0</v>
      </c>
      <c r="E1" s="24" t="s">
        <v>1</v>
      </c>
      <c r="F1" s="24" t="s">
        <v>2</v>
      </c>
      <c r="G1" s="24" t="s">
        <v>3</v>
      </c>
    </row>
    <row r="2" spans="2:16" x14ac:dyDescent="0.35">
      <c r="B2" s="9" t="s">
        <v>36</v>
      </c>
      <c r="D2" s="8"/>
      <c r="E2" s="8"/>
      <c r="F2" s="8"/>
      <c r="G2" s="8"/>
    </row>
    <row r="3" spans="2:16" x14ac:dyDescent="0.35">
      <c r="B3" s="19" t="s">
        <v>37</v>
      </c>
      <c r="C3" s="25"/>
      <c r="D3" s="20">
        <f>SUM(D4, ,D7,D9,D14)</f>
        <v>59056289212</v>
      </c>
      <c r="E3" s="20">
        <f>SUM(E4, ,E7,E9,E14)</f>
        <v>67104084885</v>
      </c>
      <c r="F3" s="20">
        <f>SUM(F4, ,F7,F9,F14)</f>
        <v>60049137705</v>
      </c>
      <c r="G3" s="20">
        <f>SUM(G4, ,G7,G9,G14)</f>
        <v>70046247450</v>
      </c>
      <c r="H3" s="21"/>
      <c r="I3" s="21"/>
      <c r="J3" s="21"/>
      <c r="K3" s="21"/>
      <c r="L3" s="21"/>
    </row>
    <row r="4" spans="2:16" x14ac:dyDescent="0.35">
      <c r="B4" s="11" t="s">
        <v>5</v>
      </c>
      <c r="C4" s="11"/>
      <c r="D4" s="29">
        <f>SUM(D5:D6)</f>
        <v>6107653560</v>
      </c>
      <c r="E4" s="29">
        <f t="shared" ref="E4:G4" si="0">SUM(E5:E6)</f>
        <v>9136096761</v>
      </c>
      <c r="F4" s="29">
        <f t="shared" si="0"/>
        <v>2235872500</v>
      </c>
      <c r="G4" s="29">
        <f t="shared" si="0"/>
        <v>30065258117</v>
      </c>
      <c r="H4" s="29"/>
      <c r="I4" s="21"/>
      <c r="J4" s="21"/>
      <c r="K4" s="21"/>
      <c r="L4" s="21"/>
    </row>
    <row r="5" spans="2:16" x14ac:dyDescent="0.35">
      <c r="B5" s="13" t="s">
        <v>50</v>
      </c>
      <c r="C5" s="11"/>
      <c r="D5" s="30">
        <v>6107653560</v>
      </c>
      <c r="E5" s="30">
        <v>9136096761</v>
      </c>
      <c r="F5" s="30">
        <v>2235872500</v>
      </c>
      <c r="G5" s="30">
        <v>1510617611</v>
      </c>
      <c r="I5" s="21"/>
      <c r="P5" s="29"/>
    </row>
    <row r="6" spans="2:16" x14ac:dyDescent="0.35">
      <c r="B6" s="13" t="s">
        <v>49</v>
      </c>
      <c r="C6" s="11"/>
      <c r="D6" s="30">
        <v>0</v>
      </c>
      <c r="E6" s="30">
        <v>0</v>
      </c>
      <c r="F6" s="30">
        <v>0</v>
      </c>
      <c r="G6" s="30">
        <v>28554640506</v>
      </c>
      <c r="H6" s="29"/>
      <c r="I6" s="21"/>
      <c r="J6" s="21"/>
      <c r="K6" s="21"/>
      <c r="L6" s="21"/>
    </row>
    <row r="7" spans="2:16" x14ac:dyDescent="0.35">
      <c r="B7" s="11" t="s">
        <v>6</v>
      </c>
      <c r="C7" s="11"/>
      <c r="D7" s="29">
        <f>D8</f>
        <v>38200000000</v>
      </c>
      <c r="E7" s="29">
        <f t="shared" ref="E7:G7" si="1">E8</f>
        <v>47000000000</v>
      </c>
      <c r="F7" s="29">
        <f t="shared" si="1"/>
        <v>40200000000</v>
      </c>
      <c r="G7" s="29">
        <f t="shared" si="1"/>
        <v>28200000000</v>
      </c>
      <c r="H7" s="29"/>
      <c r="I7" s="21"/>
      <c r="J7" s="21"/>
      <c r="K7" s="21"/>
      <c r="L7" s="21"/>
    </row>
    <row r="8" spans="2:16" x14ac:dyDescent="0.35">
      <c r="B8" s="13" t="s">
        <v>51</v>
      </c>
      <c r="C8" s="11"/>
      <c r="D8" s="30">
        <v>38200000000</v>
      </c>
      <c r="E8" s="30">
        <v>47000000000</v>
      </c>
      <c r="F8" s="30">
        <v>40200000000</v>
      </c>
      <c r="G8" s="30">
        <v>28200000000</v>
      </c>
      <c r="H8" s="29"/>
      <c r="I8" s="21"/>
      <c r="J8" s="21"/>
      <c r="K8" s="21"/>
      <c r="L8" s="21"/>
    </row>
    <row r="9" spans="2:16" x14ac:dyDescent="0.35">
      <c r="B9" s="11" t="s">
        <v>7</v>
      </c>
      <c r="C9" s="11"/>
      <c r="D9" s="29">
        <f>SUM(D10:D13)</f>
        <v>14676748385</v>
      </c>
      <c r="E9" s="29">
        <f>SUM(E10:E13)</f>
        <v>10928558147</v>
      </c>
      <c r="F9" s="29">
        <f>SUM(F10:F13)</f>
        <v>17004546120</v>
      </c>
      <c r="G9" s="29">
        <f>SUM(G10:G13)</f>
        <v>10853845327</v>
      </c>
      <c r="H9" s="29"/>
      <c r="I9" s="21"/>
      <c r="J9" s="21"/>
      <c r="K9" s="21"/>
      <c r="L9" s="21"/>
    </row>
    <row r="10" spans="2:16" x14ac:dyDescent="0.35">
      <c r="B10" s="13" t="s">
        <v>8</v>
      </c>
      <c r="C10" s="13"/>
      <c r="D10" s="30">
        <v>63000000</v>
      </c>
      <c r="E10" s="30">
        <v>727900000</v>
      </c>
      <c r="F10" s="30">
        <v>324212400</v>
      </c>
      <c r="G10" s="30">
        <v>140685960</v>
      </c>
      <c r="H10" s="29"/>
      <c r="I10" s="21"/>
      <c r="J10" s="21"/>
      <c r="K10" s="21"/>
      <c r="L10" s="21"/>
    </row>
    <row r="11" spans="2:16" x14ac:dyDescent="0.35">
      <c r="B11" s="13" t="s">
        <v>9</v>
      </c>
      <c r="C11" s="13"/>
      <c r="D11" s="30">
        <v>12247853368</v>
      </c>
      <c r="E11" s="30">
        <v>7872374856</v>
      </c>
      <c r="F11" s="30">
        <v>12613580457</v>
      </c>
      <c r="G11" s="30">
        <v>8733659302</v>
      </c>
      <c r="H11" s="29"/>
      <c r="I11" s="21"/>
      <c r="J11" s="21"/>
      <c r="K11" s="21"/>
      <c r="L11" s="21"/>
    </row>
    <row r="12" spans="2:16" x14ac:dyDescent="0.35">
      <c r="B12" s="13" t="s">
        <v>12</v>
      </c>
      <c r="C12" s="13"/>
      <c r="D12" s="30">
        <v>2365895017</v>
      </c>
      <c r="E12" s="30">
        <v>2328283291</v>
      </c>
      <c r="F12" s="30">
        <v>4101991231</v>
      </c>
      <c r="G12" s="30">
        <v>2029851012</v>
      </c>
      <c r="H12" s="29"/>
      <c r="I12" s="21"/>
      <c r="J12" s="21"/>
      <c r="K12" s="21"/>
      <c r="L12" s="21"/>
    </row>
    <row r="13" spans="2:16" x14ac:dyDescent="0.35">
      <c r="B13" s="13" t="s">
        <v>13</v>
      </c>
      <c r="C13" s="13"/>
      <c r="D13" s="30">
        <v>0</v>
      </c>
      <c r="E13" s="30">
        <v>0</v>
      </c>
      <c r="F13" s="30">
        <v>-35237968</v>
      </c>
      <c r="G13" s="30">
        <v>-50350947</v>
      </c>
      <c r="H13" s="14"/>
      <c r="I13" s="14"/>
      <c r="J13" s="14"/>
      <c r="K13" s="21"/>
      <c r="L13" s="21"/>
    </row>
    <row r="14" spans="2:16" x14ac:dyDescent="0.35">
      <c r="B14" s="11" t="s">
        <v>14</v>
      </c>
      <c r="C14" s="11"/>
      <c r="D14" s="29">
        <f>SUM(D15:D18)</f>
        <v>71887267</v>
      </c>
      <c r="E14" s="29">
        <f>SUM(E15:E18)</f>
        <v>39429977</v>
      </c>
      <c r="F14" s="29">
        <f>SUM(F15:F18)</f>
        <v>608719085</v>
      </c>
      <c r="G14" s="29">
        <f>SUM(G15:G18)</f>
        <v>927144006</v>
      </c>
      <c r="H14" s="29"/>
      <c r="I14" s="31"/>
      <c r="J14" s="31"/>
      <c r="K14" s="31"/>
      <c r="L14" s="21"/>
    </row>
    <row r="15" spans="2:16" x14ac:dyDescent="0.35">
      <c r="B15" s="13" t="s">
        <v>35</v>
      </c>
      <c r="C15" s="13"/>
      <c r="D15" s="30">
        <v>40603350</v>
      </c>
      <c r="E15" s="30">
        <v>39429977</v>
      </c>
      <c r="F15" s="30">
        <v>466879136</v>
      </c>
      <c r="G15" s="30">
        <v>501091506</v>
      </c>
      <c r="H15" s="29"/>
      <c r="I15" s="21"/>
      <c r="J15" s="21"/>
      <c r="K15" s="21"/>
      <c r="L15" s="21"/>
    </row>
    <row r="16" spans="2:16" x14ac:dyDescent="0.35">
      <c r="B16" s="13" t="s">
        <v>10</v>
      </c>
      <c r="C16" s="13"/>
      <c r="D16" s="30">
        <v>0</v>
      </c>
      <c r="E16" s="30">
        <v>0</v>
      </c>
      <c r="F16" s="30">
        <v>81839949</v>
      </c>
      <c r="G16" s="30">
        <v>426052500</v>
      </c>
      <c r="H16" s="29"/>
      <c r="I16" s="21"/>
      <c r="J16" s="21"/>
      <c r="K16" s="21"/>
      <c r="L16" s="21"/>
    </row>
    <row r="17" spans="2:12" x14ac:dyDescent="0.35">
      <c r="B17" s="13" t="s">
        <v>11</v>
      </c>
      <c r="C17" s="13"/>
      <c r="D17" s="30">
        <v>31283917</v>
      </c>
      <c r="E17" s="30">
        <v>0</v>
      </c>
      <c r="F17" s="30">
        <v>0</v>
      </c>
      <c r="G17" s="30">
        <v>0</v>
      </c>
      <c r="H17" s="21"/>
      <c r="I17" s="21"/>
      <c r="J17" s="21"/>
      <c r="K17" s="21"/>
      <c r="L17" s="21"/>
    </row>
    <row r="18" spans="2:12" x14ac:dyDescent="0.35">
      <c r="B18" s="13" t="s">
        <v>48</v>
      </c>
      <c r="C18" s="13"/>
      <c r="D18" s="30"/>
      <c r="E18" s="30"/>
      <c r="F18" s="30">
        <v>60000000</v>
      </c>
      <c r="G18" s="30"/>
      <c r="H18" s="21"/>
      <c r="I18" s="21"/>
      <c r="J18" s="21"/>
      <c r="K18" s="21"/>
      <c r="L18" s="21"/>
    </row>
    <row r="19" spans="2:12" x14ac:dyDescent="0.35">
      <c r="B19" s="19" t="s">
        <v>39</v>
      </c>
      <c r="C19" s="19"/>
      <c r="D19" s="22">
        <f>SUM(D20, D31, D27)</f>
        <v>17693412578</v>
      </c>
      <c r="E19" s="22">
        <f t="shared" ref="E19:F19" si="2">SUM(E20, E31, E27)</f>
        <v>8804527279</v>
      </c>
      <c r="F19" s="22">
        <f t="shared" si="2"/>
        <v>7344041965</v>
      </c>
      <c r="G19" s="22">
        <f>SUM(G20, G31, G27)</f>
        <v>24796284082</v>
      </c>
      <c r="H19" s="21"/>
      <c r="I19" s="21"/>
      <c r="J19" s="21"/>
      <c r="K19" s="21"/>
      <c r="L19" s="21"/>
    </row>
    <row r="20" spans="2:12" x14ac:dyDescent="0.35">
      <c r="B20" s="11" t="s">
        <v>15</v>
      </c>
      <c r="C20" s="5"/>
      <c r="D20" s="29">
        <v>379337417</v>
      </c>
      <c r="E20" s="29">
        <v>32071276</v>
      </c>
      <c r="F20" s="29">
        <v>1174900606</v>
      </c>
      <c r="G20" s="29">
        <f>SUM(G21,G24)</f>
        <v>1618407632</v>
      </c>
      <c r="H20" s="31"/>
      <c r="I20" s="31"/>
      <c r="J20" s="31"/>
      <c r="K20" s="31"/>
      <c r="L20" s="31"/>
    </row>
    <row r="21" spans="2:12" x14ac:dyDescent="0.35">
      <c r="B21" s="12" t="s">
        <v>16</v>
      </c>
      <c r="C21" s="7"/>
      <c r="D21" s="30">
        <f>SUM(D22:D23)</f>
        <v>183281194</v>
      </c>
      <c r="E21" s="30">
        <f t="shared" ref="E21:G21" si="3">SUM(E22:E23)</f>
        <v>32071276</v>
      </c>
      <c r="F21" s="30">
        <f t="shared" si="3"/>
        <v>156193632</v>
      </c>
      <c r="G21" s="30">
        <f t="shared" si="3"/>
        <v>808984834</v>
      </c>
      <c r="H21" s="30"/>
      <c r="I21" s="29"/>
      <c r="J21" s="21"/>
      <c r="K21" s="21"/>
      <c r="L21" s="21"/>
    </row>
    <row r="22" spans="2:12" x14ac:dyDescent="0.35">
      <c r="B22" s="16" t="s">
        <v>17</v>
      </c>
      <c r="C22" s="13"/>
      <c r="D22" s="30">
        <v>2105696731</v>
      </c>
      <c r="E22" s="30">
        <v>2040161363</v>
      </c>
      <c r="F22" s="30">
        <v>2306075000</v>
      </c>
      <c r="G22" s="30">
        <v>3090675000</v>
      </c>
      <c r="H22" s="21"/>
      <c r="I22" s="21"/>
      <c r="J22" s="21"/>
      <c r="K22" s="21"/>
      <c r="L22" s="21"/>
    </row>
    <row r="23" spans="2:12" x14ac:dyDescent="0.35">
      <c r="B23" s="16" t="s">
        <v>18</v>
      </c>
      <c r="C23" s="13"/>
      <c r="D23" s="30">
        <v>-1922415537</v>
      </c>
      <c r="E23" s="30">
        <v>-2008090087</v>
      </c>
      <c r="F23" s="30">
        <v>-2149881368</v>
      </c>
      <c r="G23" s="30">
        <v>-2281690166</v>
      </c>
      <c r="H23" s="29"/>
      <c r="I23" s="29"/>
      <c r="J23" s="29"/>
      <c r="K23" s="21"/>
      <c r="L23" s="21"/>
    </row>
    <row r="24" spans="2:12" x14ac:dyDescent="0.35">
      <c r="B24" s="12" t="s">
        <v>19</v>
      </c>
      <c r="C24" s="6"/>
      <c r="D24" s="29">
        <f>SUM(D25:D26)</f>
        <v>196056223</v>
      </c>
      <c r="E24" s="29">
        <f>SUM(E25:E26)</f>
        <v>0</v>
      </c>
      <c r="F24" s="29">
        <f t="shared" ref="F24:G24" si="4">SUM(F25:F26)</f>
        <v>156193632</v>
      </c>
      <c r="G24" s="29">
        <f t="shared" si="4"/>
        <v>809422798</v>
      </c>
      <c r="H24" s="31"/>
      <c r="I24" s="31"/>
      <c r="J24" s="31"/>
      <c r="K24" s="21"/>
      <c r="L24" s="21"/>
    </row>
    <row r="25" spans="2:12" x14ac:dyDescent="0.35">
      <c r="B25" s="16" t="s">
        <v>17</v>
      </c>
      <c r="C25" s="13"/>
      <c r="D25" s="30">
        <v>2658520000</v>
      </c>
      <c r="E25" s="30">
        <v>2658520</v>
      </c>
      <c r="F25" s="30">
        <v>2306075000</v>
      </c>
      <c r="G25" s="30">
        <v>4507483613</v>
      </c>
      <c r="H25" s="21"/>
      <c r="I25" s="21"/>
      <c r="J25" s="21"/>
      <c r="K25" s="21"/>
      <c r="L25" s="21"/>
    </row>
    <row r="26" spans="2:12" x14ac:dyDescent="0.35">
      <c r="B26" s="16" t="s">
        <v>18</v>
      </c>
      <c r="C26" s="13"/>
      <c r="D26" s="30">
        <v>-2462463777</v>
      </c>
      <c r="E26" s="30">
        <v>-2658520</v>
      </c>
      <c r="F26" s="30">
        <v>-2149881368</v>
      </c>
      <c r="G26" s="30">
        <v>-3698060815</v>
      </c>
      <c r="H26" s="30"/>
      <c r="I26" s="29"/>
      <c r="J26" s="29"/>
      <c r="K26" s="21"/>
      <c r="L26" s="21"/>
    </row>
    <row r="27" spans="2:12" x14ac:dyDescent="0.35">
      <c r="B27" s="11" t="s">
        <v>20</v>
      </c>
      <c r="C27" s="5"/>
      <c r="D27" s="29">
        <f>SUM(D28:D30)</f>
        <v>16900000000</v>
      </c>
      <c r="E27" s="29">
        <f t="shared" ref="E27:G27" si="5">SUM(E28:E30)</f>
        <v>8500000000</v>
      </c>
      <c r="F27" s="29">
        <f t="shared" si="5"/>
        <v>3948146200</v>
      </c>
      <c r="G27" s="29">
        <f t="shared" si="5"/>
        <v>22397835320</v>
      </c>
      <c r="H27" s="31"/>
      <c r="I27" s="31"/>
      <c r="J27" s="31"/>
      <c r="K27" s="21"/>
      <c r="L27" s="21"/>
    </row>
    <row r="28" spans="2:12" x14ac:dyDescent="0.35">
      <c r="B28" s="33" t="s">
        <v>47</v>
      </c>
      <c r="C28" s="34"/>
      <c r="D28" s="30">
        <v>16900000000</v>
      </c>
      <c r="E28" s="30">
        <v>8500000000</v>
      </c>
      <c r="F28" s="30">
        <v>1948146200</v>
      </c>
      <c r="G28" s="29">
        <v>0</v>
      </c>
      <c r="H28" s="31"/>
      <c r="I28" s="31"/>
      <c r="J28" s="31"/>
      <c r="K28" s="21"/>
      <c r="L28" s="21"/>
    </row>
    <row r="29" spans="2:12" x14ac:dyDescent="0.35">
      <c r="B29" s="16" t="s">
        <v>52</v>
      </c>
      <c r="C29" s="5"/>
      <c r="D29" s="29"/>
      <c r="E29" s="29"/>
      <c r="F29" s="29"/>
      <c r="G29" s="29">
        <v>20449689120</v>
      </c>
      <c r="H29" s="31"/>
      <c r="I29" s="31"/>
      <c r="J29" s="31"/>
      <c r="K29" s="21"/>
      <c r="L29" s="21"/>
    </row>
    <row r="30" spans="2:12" x14ac:dyDescent="0.35">
      <c r="B30" s="35" t="s">
        <v>53</v>
      </c>
      <c r="F30" s="30">
        <v>2000000000</v>
      </c>
      <c r="G30" s="30">
        <v>1948146200</v>
      </c>
      <c r="H30" s="21"/>
      <c r="I30" s="21"/>
      <c r="J30" s="21"/>
      <c r="K30" s="21"/>
      <c r="L30" s="21"/>
    </row>
    <row r="31" spans="2:12" x14ac:dyDescent="0.35">
      <c r="B31" s="11" t="s">
        <v>22</v>
      </c>
      <c r="C31" s="11"/>
      <c r="D31" s="29">
        <v>414075161</v>
      </c>
      <c r="E31" s="29">
        <f>SUM(E32:E33)</f>
        <v>272456003</v>
      </c>
      <c r="F31" s="29">
        <f t="shared" ref="F31:G31" si="6">SUM(F32:F33)</f>
        <v>2220995159</v>
      </c>
      <c r="G31" s="29">
        <f t="shared" si="6"/>
        <v>780041130</v>
      </c>
      <c r="H31" s="21"/>
      <c r="I31" s="21"/>
      <c r="J31" s="21"/>
      <c r="K31" s="21"/>
      <c r="L31" s="21"/>
    </row>
    <row r="32" spans="2:12" x14ac:dyDescent="0.35">
      <c r="B32" s="16" t="s">
        <v>21</v>
      </c>
      <c r="C32" s="13"/>
      <c r="D32" s="30">
        <v>364075161</v>
      </c>
      <c r="E32" s="30">
        <v>222456003</v>
      </c>
      <c r="F32" s="30">
        <v>1794942659</v>
      </c>
      <c r="G32" s="30">
        <v>720041130</v>
      </c>
      <c r="H32" s="21"/>
      <c r="I32" s="21"/>
      <c r="J32" s="21"/>
      <c r="K32" s="21"/>
      <c r="L32" s="21"/>
    </row>
    <row r="33" spans="2:12" x14ac:dyDescent="0.35">
      <c r="B33" s="16" t="s">
        <v>46</v>
      </c>
      <c r="C33" s="13"/>
      <c r="D33" s="30">
        <v>50000</v>
      </c>
      <c r="E33" s="30">
        <v>50000000</v>
      </c>
      <c r="F33" s="30">
        <v>426052500</v>
      </c>
      <c r="G33" s="30">
        <v>60000000</v>
      </c>
      <c r="H33" s="21"/>
      <c r="I33" s="21"/>
      <c r="J33" s="21"/>
      <c r="K33" s="21"/>
      <c r="L33" s="21"/>
    </row>
    <row r="34" spans="2:12" s="18" customFormat="1" x14ac:dyDescent="0.35">
      <c r="B34" s="17" t="s">
        <v>38</v>
      </c>
      <c r="C34" s="17"/>
      <c r="D34" s="28">
        <f>SUM(D3,D19)</f>
        <v>76749701790</v>
      </c>
      <c r="E34" s="28">
        <f t="shared" ref="E34:F34" si="7">SUM(E3,E19)</f>
        <v>75908612164</v>
      </c>
      <c r="F34" s="28">
        <f t="shared" si="7"/>
        <v>67393179670</v>
      </c>
      <c r="G34" s="28">
        <f>SUM(G3,G19)</f>
        <v>94842531532</v>
      </c>
    </row>
    <row r="36" spans="2:12" x14ac:dyDescent="0.35">
      <c r="B36" s="9" t="s">
        <v>41</v>
      </c>
      <c r="D36" s="2"/>
      <c r="E36" s="2"/>
      <c r="F36" s="2"/>
      <c r="G36" s="2"/>
    </row>
    <row r="37" spans="2:12" x14ac:dyDescent="0.35">
      <c r="B37" s="19" t="s">
        <v>40</v>
      </c>
      <c r="C37" s="19"/>
      <c r="D37" s="20">
        <f>D38</f>
        <v>16581858808</v>
      </c>
      <c r="E37" s="20">
        <f t="shared" ref="E37:G37" si="8">E38</f>
        <v>14886939810</v>
      </c>
      <c r="F37" s="20">
        <f t="shared" si="8"/>
        <v>10029699808</v>
      </c>
      <c r="G37" s="20">
        <f t="shared" si="8"/>
        <v>10924941443</v>
      </c>
    </row>
    <row r="38" spans="2:12" x14ac:dyDescent="0.35">
      <c r="B38" s="26" t="s">
        <v>43</v>
      </c>
      <c r="C38" s="15"/>
      <c r="D38" s="29">
        <f>SUM(D39:D45)</f>
        <v>16581858808</v>
      </c>
      <c r="E38" s="29">
        <f t="shared" ref="E38:F38" si="9">SUM(E39:E45)</f>
        <v>14886939810</v>
      </c>
      <c r="F38" s="29">
        <f t="shared" si="9"/>
        <v>10029699808</v>
      </c>
      <c r="G38" s="29">
        <f>SUM(G39:G45)</f>
        <v>10924941443</v>
      </c>
    </row>
    <row r="39" spans="2:12" x14ac:dyDescent="0.35">
      <c r="B39" s="13" t="s">
        <v>23</v>
      </c>
      <c r="D39" s="30">
        <v>19743806</v>
      </c>
      <c r="E39" s="30">
        <v>419493991</v>
      </c>
      <c r="F39" s="30">
        <v>258897501</v>
      </c>
      <c r="G39" s="30">
        <v>489226071</v>
      </c>
    </row>
    <row r="40" spans="2:12" x14ac:dyDescent="0.35">
      <c r="B40" s="13" t="s">
        <v>24</v>
      </c>
      <c r="C40" s="3"/>
      <c r="D40" s="30">
        <v>1208238916</v>
      </c>
      <c r="E40" s="30">
        <v>1621077603</v>
      </c>
      <c r="F40" s="30">
        <v>1414311040</v>
      </c>
      <c r="G40" s="30">
        <v>2597731056</v>
      </c>
    </row>
    <row r="41" spans="2:12" x14ac:dyDescent="0.35">
      <c r="B41" s="13" t="s">
        <v>25</v>
      </c>
      <c r="C41" s="4"/>
      <c r="D41" s="30">
        <v>13007184065</v>
      </c>
      <c r="E41" s="30">
        <v>10362522578</v>
      </c>
      <c r="F41" s="30">
        <v>5978605886</v>
      </c>
      <c r="G41" s="30">
        <v>3466966862</v>
      </c>
    </row>
    <row r="42" spans="2:12" x14ac:dyDescent="0.35">
      <c r="B42" s="13" t="s">
        <v>26</v>
      </c>
      <c r="C42" s="4"/>
      <c r="D42" s="30">
        <v>254642176</v>
      </c>
      <c r="E42" s="30">
        <v>332050276</v>
      </c>
      <c r="F42" s="30">
        <v>420850000</v>
      </c>
      <c r="G42" s="30">
        <v>1715271141</v>
      </c>
    </row>
    <row r="43" spans="2:12" x14ac:dyDescent="0.35">
      <c r="B43" s="13" t="s">
        <v>27</v>
      </c>
      <c r="C43" s="4"/>
      <c r="D43" s="30">
        <v>306069981</v>
      </c>
      <c r="E43" s="30">
        <v>422986062</v>
      </c>
      <c r="F43" s="30">
        <v>375139540</v>
      </c>
      <c r="G43" s="30">
        <v>1565760123</v>
      </c>
    </row>
    <row r="44" spans="2:12" x14ac:dyDescent="0.35">
      <c r="B44" s="13" t="s">
        <v>28</v>
      </c>
      <c r="C44" s="3"/>
      <c r="D44" s="30">
        <v>0</v>
      </c>
      <c r="E44" s="30">
        <v>0</v>
      </c>
      <c r="F44" s="30">
        <v>318500000</v>
      </c>
      <c r="G44" s="30">
        <v>350000000</v>
      </c>
    </row>
    <row r="45" spans="2:12" x14ac:dyDescent="0.35">
      <c r="B45" s="27" t="s">
        <v>44</v>
      </c>
      <c r="C45" s="3"/>
      <c r="D45" s="30">
        <v>1785979864</v>
      </c>
      <c r="E45" s="30">
        <v>1728809300</v>
      </c>
      <c r="F45" s="30">
        <v>1263395841</v>
      </c>
      <c r="G45" s="30">
        <v>739986190</v>
      </c>
    </row>
    <row r="46" spans="2:12" x14ac:dyDescent="0.35">
      <c r="B46" s="27"/>
      <c r="C46" s="3"/>
      <c r="D46" s="30"/>
      <c r="E46" s="30"/>
      <c r="F46" s="30"/>
      <c r="G46" s="30"/>
    </row>
    <row r="47" spans="2:12" x14ac:dyDescent="0.35">
      <c r="B47" s="19" t="s">
        <v>42</v>
      </c>
      <c r="C47" s="19"/>
      <c r="D47" s="20">
        <f>SUM(D48:D53)</f>
        <v>60167842982</v>
      </c>
      <c r="E47" s="20">
        <f t="shared" ref="E47:G47" si="10">SUM(E48:E53)</f>
        <v>61021672354</v>
      </c>
      <c r="F47" s="20">
        <f t="shared" si="10"/>
        <v>57363479862</v>
      </c>
      <c r="G47" s="20">
        <f t="shared" si="10"/>
        <v>83917590089</v>
      </c>
    </row>
    <row r="48" spans="2:12" x14ac:dyDescent="0.35">
      <c r="B48" s="13" t="s">
        <v>29</v>
      </c>
      <c r="C48" s="3"/>
      <c r="D48" s="30">
        <v>50000000000</v>
      </c>
      <c r="E48" s="30">
        <v>50000000000</v>
      </c>
      <c r="F48" s="30">
        <v>50000000000</v>
      </c>
      <c r="G48" s="30">
        <v>79000000000</v>
      </c>
    </row>
    <row r="49" spans="2:8" x14ac:dyDescent="0.35">
      <c r="B49" s="13" t="s">
        <v>30</v>
      </c>
      <c r="C49" s="3"/>
      <c r="D49" s="30">
        <v>0</v>
      </c>
      <c r="E49" s="30">
        <v>0</v>
      </c>
      <c r="F49" s="30">
        <v>0</v>
      </c>
      <c r="G49" s="30">
        <v>1989600000</v>
      </c>
    </row>
    <row r="50" spans="2:8" x14ac:dyDescent="0.35">
      <c r="B50" s="13" t="s">
        <v>31</v>
      </c>
      <c r="C50" s="3"/>
      <c r="D50" s="30">
        <v>2461191604</v>
      </c>
      <c r="E50" s="30">
        <v>2742882040</v>
      </c>
      <c r="F50" s="30">
        <v>0</v>
      </c>
      <c r="G50" s="30">
        <v>0</v>
      </c>
    </row>
    <row r="51" spans="2:8" x14ac:dyDescent="0.35">
      <c r="B51" s="13" t="s">
        <v>32</v>
      </c>
      <c r="C51" s="3"/>
      <c r="D51" s="30">
        <v>2461191604</v>
      </c>
      <c r="E51" s="30">
        <v>2742882040</v>
      </c>
      <c r="F51" s="30">
        <v>3149658030</v>
      </c>
      <c r="G51" s="30">
        <v>0</v>
      </c>
    </row>
    <row r="52" spans="2:8" x14ac:dyDescent="0.35">
      <c r="B52" s="13" t="s">
        <v>33</v>
      </c>
      <c r="C52" s="4"/>
      <c r="D52" s="30">
        <v>5245459774</v>
      </c>
      <c r="E52" s="30">
        <v>5535908274</v>
      </c>
      <c r="F52" s="30">
        <v>4213821832</v>
      </c>
      <c r="G52" s="30">
        <v>2927990089</v>
      </c>
    </row>
    <row r="53" spans="2:8" x14ac:dyDescent="0.35">
      <c r="B53" s="11"/>
      <c r="C53" s="3"/>
      <c r="D53" s="30"/>
      <c r="E53" s="30"/>
      <c r="F53" s="30"/>
      <c r="G53" s="30"/>
    </row>
    <row r="54" spans="2:8" s="18" customFormat="1" x14ac:dyDescent="0.35">
      <c r="B54" s="17" t="s">
        <v>45</v>
      </c>
      <c r="C54" s="17"/>
      <c r="D54" s="28">
        <f>SUM(D37,D47)</f>
        <v>76749701790</v>
      </c>
      <c r="E54" s="28">
        <f t="shared" ref="E54:F54" si="11">SUM(E37,E47)</f>
        <v>75908612164</v>
      </c>
      <c r="F54" s="28">
        <f t="shared" si="11"/>
        <v>67393179670</v>
      </c>
      <c r="G54" s="28">
        <f>SUM(G37,G47)</f>
        <v>94842531532</v>
      </c>
    </row>
    <row r="59" spans="2:8" s="10" customFormat="1" x14ac:dyDescent="0.35">
      <c r="B59" s="23" t="s">
        <v>68</v>
      </c>
      <c r="C59" s="24"/>
      <c r="D59" s="24" t="s">
        <v>0</v>
      </c>
      <c r="E59" s="24" t="s">
        <v>1</v>
      </c>
      <c r="F59" s="24" t="s">
        <v>2</v>
      </c>
      <c r="G59" s="24" t="s">
        <v>3</v>
      </c>
    </row>
    <row r="60" spans="2:8" x14ac:dyDescent="0.35">
      <c r="B60" s="9" t="s">
        <v>92</v>
      </c>
      <c r="C60" s="3"/>
      <c r="D60" s="3"/>
      <c r="E60" s="3"/>
      <c r="F60" s="3"/>
    </row>
    <row r="61" spans="2:8" x14ac:dyDescent="0.35">
      <c r="B61" s="12" t="s">
        <v>55</v>
      </c>
      <c r="C61" s="32"/>
      <c r="D61" s="29">
        <v>38144413277</v>
      </c>
      <c r="E61" s="29">
        <v>35997699472</v>
      </c>
      <c r="F61" s="29">
        <v>49622139061</v>
      </c>
      <c r="G61" s="29">
        <v>54005048948</v>
      </c>
      <c r="H61" s="32"/>
    </row>
    <row r="62" spans="2:8" x14ac:dyDescent="0.35">
      <c r="B62" s="13" t="s">
        <v>56</v>
      </c>
      <c r="D62" s="30">
        <v>-21418870453</v>
      </c>
      <c r="E62" s="30">
        <v>-17417679758</v>
      </c>
      <c r="F62" s="30">
        <v>-28393723250</v>
      </c>
      <c r="G62" s="30">
        <v>-30584706537</v>
      </c>
    </row>
    <row r="63" spans="2:8" x14ac:dyDescent="0.35">
      <c r="B63" s="12" t="s">
        <v>57</v>
      </c>
      <c r="C63" s="32"/>
      <c r="D63" s="29">
        <f>SUM(D61:D62)</f>
        <v>16725542824</v>
      </c>
      <c r="E63" s="29">
        <v>18580019714</v>
      </c>
      <c r="F63" s="29">
        <v>21228415811</v>
      </c>
      <c r="G63" s="29">
        <v>23420342411</v>
      </c>
    </row>
    <row r="64" spans="2:8" x14ac:dyDescent="0.35">
      <c r="B64" s="13" t="s">
        <v>58</v>
      </c>
      <c r="D64" s="30">
        <v>4304359772</v>
      </c>
      <c r="E64" s="30">
        <v>3715582729</v>
      </c>
      <c r="F64" s="30">
        <v>5051119961</v>
      </c>
      <c r="G64" s="30">
        <v>3397883768</v>
      </c>
    </row>
    <row r="65" spans="2:10" x14ac:dyDescent="0.35">
      <c r="B65" s="13" t="s">
        <v>59</v>
      </c>
      <c r="D65" s="30">
        <v>-13913885</v>
      </c>
      <c r="E65" s="30">
        <v>-14059803</v>
      </c>
      <c r="F65" s="30">
        <v>-15790279</v>
      </c>
      <c r="G65" s="30">
        <v>-23695734</v>
      </c>
    </row>
    <row r="66" spans="2:10" x14ac:dyDescent="0.35">
      <c r="B66" s="13" t="s">
        <v>60</v>
      </c>
      <c r="D66" s="30">
        <v>-14464977253</v>
      </c>
      <c r="E66" s="30">
        <v>-11985035737</v>
      </c>
      <c r="F66" s="30">
        <v>-16716059975</v>
      </c>
      <c r="G66" s="30">
        <v>-17682194387</v>
      </c>
    </row>
    <row r="67" spans="2:10" x14ac:dyDescent="0.35">
      <c r="B67" s="12" t="s">
        <v>61</v>
      </c>
      <c r="C67" s="32"/>
      <c r="D67" s="29">
        <f>SUM(D63:D66)</f>
        <v>6551011458</v>
      </c>
      <c r="E67" s="29">
        <f>SUM(E63:E66)</f>
        <v>10296506903</v>
      </c>
      <c r="F67" s="29">
        <f t="shared" ref="F67:G67" si="12">SUM(F63:F66)</f>
        <v>9547685518</v>
      </c>
      <c r="G67" s="29">
        <f t="shared" si="12"/>
        <v>9112336058</v>
      </c>
    </row>
    <row r="68" spans="2:10" x14ac:dyDescent="0.35">
      <c r="B68" s="13" t="s">
        <v>62</v>
      </c>
      <c r="D68" s="30">
        <v>0</v>
      </c>
      <c r="E68" s="30">
        <v>-60000000</v>
      </c>
      <c r="F68" s="30">
        <v>0</v>
      </c>
      <c r="G68" s="30">
        <v>-126342453</v>
      </c>
    </row>
    <row r="69" spans="2:10" x14ac:dyDescent="0.35">
      <c r="B69" s="13" t="s">
        <v>69</v>
      </c>
      <c r="C69" s="32"/>
      <c r="D69" s="30">
        <f t="shared" ref="D69:F69" si="13">-D68</f>
        <v>0</v>
      </c>
      <c r="E69" s="30">
        <f>E68</f>
        <v>-60000000</v>
      </c>
      <c r="F69" s="30">
        <f t="shared" si="13"/>
        <v>0</v>
      </c>
      <c r="G69" s="30">
        <f>G68</f>
        <v>-126342453</v>
      </c>
      <c r="H69" s="32"/>
      <c r="I69" s="32"/>
    </row>
    <row r="70" spans="2:10" x14ac:dyDescent="0.35">
      <c r="B70" s="12" t="s">
        <v>64</v>
      </c>
      <c r="C70" s="32"/>
      <c r="D70" s="29">
        <f t="shared" ref="D70:F70" si="14">SUM(D67,D69)</f>
        <v>6551011458</v>
      </c>
      <c r="E70" s="29">
        <f t="shared" si="14"/>
        <v>10236506903</v>
      </c>
      <c r="F70" s="29">
        <f t="shared" si="14"/>
        <v>9547685518</v>
      </c>
      <c r="G70" s="29">
        <f>SUM(G67,G69)</f>
        <v>8985993605</v>
      </c>
      <c r="H70" s="32"/>
      <c r="I70" s="32"/>
      <c r="J70" s="32"/>
    </row>
    <row r="71" spans="2:10" x14ac:dyDescent="0.35">
      <c r="B71" s="13" t="s">
        <v>65</v>
      </c>
      <c r="D71" s="30">
        <v>-917202729</v>
      </c>
      <c r="E71" s="30">
        <v>-2100987095</v>
      </c>
      <c r="F71" s="30">
        <v>-2336186816</v>
      </c>
      <c r="G71" s="30">
        <v>-2633023429</v>
      </c>
    </row>
    <row r="72" spans="2:10" x14ac:dyDescent="0.35">
      <c r="B72" s="12" t="s">
        <v>66</v>
      </c>
      <c r="C72" s="32"/>
      <c r="D72" s="29">
        <f>SUM(D70:D71)</f>
        <v>5633808729</v>
      </c>
      <c r="E72" s="29">
        <f t="shared" ref="E72:G72" si="15">SUM(E70:E71)</f>
        <v>8135519808</v>
      </c>
      <c r="F72" s="29">
        <f t="shared" si="15"/>
        <v>7211498702</v>
      </c>
      <c r="G72" s="29">
        <f t="shared" si="15"/>
        <v>6352970176</v>
      </c>
    </row>
    <row r="73" spans="2:10" x14ac:dyDescent="0.35">
      <c r="B73" s="12" t="s">
        <v>67</v>
      </c>
      <c r="C73" s="32"/>
      <c r="D73" s="29">
        <v>1014</v>
      </c>
      <c r="E73" s="29">
        <v>1562</v>
      </c>
      <c r="F73" s="29">
        <v>1259</v>
      </c>
      <c r="G73" s="29">
        <v>1056</v>
      </c>
    </row>
    <row r="74" spans="2:10" x14ac:dyDescent="0.35">
      <c r="B74" s="12"/>
      <c r="C74" s="32"/>
      <c r="D74" s="29"/>
      <c r="E74" s="29"/>
      <c r="F74" s="29"/>
      <c r="G74" s="29"/>
    </row>
    <row r="75" spans="2:10" x14ac:dyDescent="0.35">
      <c r="B75" s="12"/>
      <c r="C75" s="32"/>
      <c r="D75" s="29"/>
      <c r="E75" s="29"/>
      <c r="F75" s="29"/>
      <c r="G75" s="29"/>
    </row>
    <row r="76" spans="2:10" x14ac:dyDescent="0.35">
      <c r="B76" s="12"/>
      <c r="C76" s="32"/>
      <c r="D76" s="29"/>
      <c r="E76" s="29"/>
      <c r="F76" s="29"/>
      <c r="G76" s="29"/>
    </row>
    <row r="77" spans="2:10" x14ac:dyDescent="0.35">
      <c r="B77" s="12"/>
      <c r="C77" s="32"/>
      <c r="D77" s="29"/>
      <c r="E77" s="29"/>
      <c r="F77" s="29"/>
      <c r="G77" s="29"/>
    </row>
    <row r="78" spans="2:10" s="10" customFormat="1" x14ac:dyDescent="0.35">
      <c r="B78" s="23" t="s">
        <v>91</v>
      </c>
      <c r="C78" s="24"/>
      <c r="D78" s="24" t="s">
        <v>0</v>
      </c>
      <c r="E78" s="24" t="s">
        <v>1</v>
      </c>
      <c r="F78" s="24" t="s">
        <v>2</v>
      </c>
      <c r="G78" s="24" t="s">
        <v>3</v>
      </c>
    </row>
    <row r="79" spans="2:10" x14ac:dyDescent="0.35">
      <c r="B79" s="9" t="s">
        <v>71</v>
      </c>
      <c r="C79" s="3"/>
      <c r="D79" s="3"/>
      <c r="E79" s="3"/>
      <c r="F79" s="3"/>
    </row>
    <row r="80" spans="2:10" x14ac:dyDescent="0.35">
      <c r="B80" s="12"/>
      <c r="C80" s="32"/>
      <c r="D80" s="29"/>
      <c r="E80" s="29"/>
      <c r="F80" s="29"/>
      <c r="G80" s="29"/>
    </row>
    <row r="81" spans="2:7" x14ac:dyDescent="0.35">
      <c r="B81" s="13"/>
      <c r="D81" s="30"/>
      <c r="E81" s="30"/>
      <c r="F81" s="30"/>
      <c r="G81" s="30"/>
    </row>
    <row r="82" spans="2:7" x14ac:dyDescent="0.35">
      <c r="B82" s="12"/>
      <c r="C82" s="32"/>
      <c r="D82" s="29"/>
      <c r="E82" s="29"/>
      <c r="F82" s="29"/>
      <c r="G82" s="29"/>
    </row>
    <row r="83" spans="2:7" x14ac:dyDescent="0.35">
      <c r="B83" s="13"/>
      <c r="D83" s="30"/>
      <c r="E83" s="30"/>
      <c r="F83" s="30"/>
      <c r="G83" s="30"/>
    </row>
    <row r="84" spans="2:7" x14ac:dyDescent="0.35">
      <c r="B84" s="13"/>
      <c r="D84" s="30"/>
      <c r="E84" s="30"/>
      <c r="F84" s="30"/>
      <c r="G84" s="30"/>
    </row>
    <row r="85" spans="2:7" x14ac:dyDescent="0.35">
      <c r="B85" s="13"/>
      <c r="D85" s="30"/>
      <c r="E85" s="30"/>
      <c r="F85" s="30"/>
      <c r="G85" s="30"/>
    </row>
    <row r="86" spans="2:7" x14ac:dyDescent="0.35">
      <c r="B86" s="12"/>
      <c r="C86" s="32"/>
      <c r="D86" s="29"/>
      <c r="E86" s="29"/>
      <c r="F86" s="29"/>
      <c r="G86" s="29"/>
    </row>
    <row r="87" spans="2:7" x14ac:dyDescent="0.35">
      <c r="B87" s="13"/>
      <c r="D87" s="30"/>
      <c r="E87" s="30"/>
      <c r="F87" s="30"/>
      <c r="G87" s="30"/>
    </row>
    <row r="88" spans="2:7" x14ac:dyDescent="0.35">
      <c r="B88" s="13"/>
      <c r="C88" s="32"/>
      <c r="D88" s="30"/>
      <c r="E88" s="30"/>
      <c r="F88" s="30"/>
      <c r="G88" s="30"/>
    </row>
    <row r="89" spans="2:7" x14ac:dyDescent="0.35">
      <c r="B89" s="12"/>
      <c r="C89" s="32"/>
      <c r="D89" s="29"/>
      <c r="E89" s="29"/>
      <c r="F89" s="29"/>
      <c r="G89" s="29"/>
    </row>
    <row r="90" spans="2:7" x14ac:dyDescent="0.35">
      <c r="B90" s="13"/>
      <c r="D90" s="30"/>
      <c r="E90" s="30"/>
      <c r="F90" s="30"/>
      <c r="G90" s="30"/>
    </row>
    <row r="91" spans="2:7" x14ac:dyDescent="0.35">
      <c r="B91" s="12"/>
      <c r="C91" s="32"/>
      <c r="D91" s="29"/>
      <c r="E91" s="29"/>
      <c r="F91" s="29"/>
      <c r="G91" s="29"/>
    </row>
    <row r="92" spans="2:7" x14ac:dyDescent="0.35">
      <c r="B92" s="12"/>
      <c r="C92" s="32"/>
      <c r="D92" s="29"/>
      <c r="E92" s="29"/>
      <c r="F92" s="29"/>
      <c r="G92" s="29"/>
    </row>
    <row r="93" spans="2:7" x14ac:dyDescent="0.35">
      <c r="B93" s="12"/>
      <c r="C93" s="32"/>
      <c r="D93" s="29"/>
      <c r="E93" s="29"/>
      <c r="F93" s="29"/>
      <c r="G93" s="29"/>
    </row>
    <row r="94" spans="2:7" x14ac:dyDescent="0.35">
      <c r="B94" s="12"/>
      <c r="C94" s="32"/>
      <c r="D94" s="29"/>
      <c r="E94" s="29"/>
      <c r="F94" s="29"/>
      <c r="G94" s="29"/>
    </row>
    <row r="95" spans="2:7" x14ac:dyDescent="0.35">
      <c r="B95" s="12"/>
      <c r="C95" s="32"/>
      <c r="D95" s="29"/>
      <c r="E95" s="29"/>
      <c r="F95" s="29"/>
      <c r="G95" s="29"/>
    </row>
    <row r="96" spans="2:7" x14ac:dyDescent="0.35">
      <c r="B96" s="12"/>
      <c r="C96" s="32"/>
      <c r="D96" s="29"/>
      <c r="E96" s="29"/>
      <c r="F96" s="29"/>
      <c r="G96" s="29"/>
    </row>
    <row r="97" spans="2:9" x14ac:dyDescent="0.35">
      <c r="B97" s="12"/>
      <c r="C97" s="32"/>
      <c r="D97" s="29"/>
      <c r="E97" s="29"/>
      <c r="F97" s="29"/>
      <c r="G97" s="29"/>
    </row>
    <row r="98" spans="2:9" x14ac:dyDescent="0.35">
      <c r="D98" s="30"/>
      <c r="E98" s="30"/>
      <c r="F98" s="30"/>
      <c r="G98" s="30"/>
    </row>
    <row r="99" spans="2:9" x14ac:dyDescent="0.35">
      <c r="D99" s="30"/>
      <c r="E99" s="30"/>
      <c r="F99" s="30"/>
      <c r="G99" s="30"/>
      <c r="I99">
        <f>-1</f>
        <v>-1</v>
      </c>
    </row>
    <row r="100" spans="2:9" x14ac:dyDescent="0.35">
      <c r="D100" s="36"/>
      <c r="E100" s="36"/>
      <c r="F100" s="36"/>
      <c r="G100" s="36"/>
    </row>
    <row r="102" spans="2:9" s="10" customFormat="1" x14ac:dyDescent="0.35">
      <c r="B102" s="24" t="s">
        <v>70</v>
      </c>
      <c r="C102" s="24"/>
      <c r="D102" s="24" t="s">
        <v>0</v>
      </c>
      <c r="E102" s="24" t="s">
        <v>1</v>
      </c>
      <c r="F102" s="24" t="s">
        <v>2</v>
      </c>
      <c r="G102" s="24" t="s">
        <v>3</v>
      </c>
    </row>
    <row r="103" spans="2:9" x14ac:dyDescent="0.35">
      <c r="B103" s="9" t="s">
        <v>78</v>
      </c>
    </row>
    <row r="104" spans="2:9" x14ac:dyDescent="0.35">
      <c r="B104" s="6" t="s">
        <v>72</v>
      </c>
      <c r="D104" s="30">
        <v>38162130698</v>
      </c>
      <c r="E104" s="30">
        <v>40373177984</v>
      </c>
      <c r="F104" s="30">
        <v>45136311211</v>
      </c>
      <c r="G104" s="30">
        <v>58601220103</v>
      </c>
      <c r="H104" s="30"/>
    </row>
    <row r="105" spans="2:9" x14ac:dyDescent="0.35">
      <c r="B105" s="6" t="s">
        <v>73</v>
      </c>
      <c r="D105" s="30">
        <v>-5837560860</v>
      </c>
      <c r="E105" s="30">
        <v>-5584149434</v>
      </c>
      <c r="F105" s="30">
        <v>-11706619445</v>
      </c>
      <c r="G105" s="30">
        <v>-12276784829</v>
      </c>
    </row>
    <row r="106" spans="2:9" x14ac:dyDescent="0.35">
      <c r="B106" s="6" t="s">
        <v>74</v>
      </c>
      <c r="D106" s="30">
        <v>-33731015162</v>
      </c>
      <c r="E106" s="30">
        <v>-26001630874</v>
      </c>
      <c r="F106" s="30">
        <v>-32447178312</v>
      </c>
      <c r="G106" s="30">
        <v>-33809422838</v>
      </c>
    </row>
    <row r="107" spans="2:9" x14ac:dyDescent="0.35">
      <c r="B107" s="6" t="s">
        <v>75</v>
      </c>
      <c r="D107" s="30">
        <v>-1435161808</v>
      </c>
      <c r="E107" s="30">
        <v>-973825247</v>
      </c>
      <c r="F107" s="30">
        <v>-2614338478</v>
      </c>
      <c r="G107" s="30">
        <v>-2233709599</v>
      </c>
    </row>
    <row r="108" spans="2:9" x14ac:dyDescent="0.35">
      <c r="B108" s="6" t="s">
        <v>76</v>
      </c>
      <c r="D108" s="30">
        <v>23500000</v>
      </c>
      <c r="E108" s="30">
        <v>22500000</v>
      </c>
      <c r="F108" s="30">
        <v>27500000</v>
      </c>
      <c r="G108" s="30">
        <v>140449684</v>
      </c>
    </row>
    <row r="109" spans="2:9" x14ac:dyDescent="0.35">
      <c r="B109" s="6" t="s">
        <v>77</v>
      </c>
      <c r="D109" s="30">
        <v>-516562915</v>
      </c>
      <c r="E109" s="30">
        <v>-540753797</v>
      </c>
      <c r="F109" s="30">
        <v>-489340009</v>
      </c>
      <c r="G109" s="30">
        <v>-916328843</v>
      </c>
    </row>
    <row r="110" spans="2:9" x14ac:dyDescent="0.35">
      <c r="B110" s="9" t="s">
        <v>78</v>
      </c>
      <c r="D110" s="29">
        <f>SUM(D104:D109)</f>
        <v>-3334670047</v>
      </c>
      <c r="E110" s="29">
        <f t="shared" ref="E110:G110" si="16">SUM(E104:E109)</f>
        <v>7295318632</v>
      </c>
      <c r="F110" s="29">
        <f t="shared" si="16"/>
        <v>-2093665033</v>
      </c>
      <c r="G110" s="29">
        <f t="shared" si="16"/>
        <v>9505423678</v>
      </c>
    </row>
    <row r="111" spans="2:9" x14ac:dyDescent="0.35">
      <c r="B111" s="6" t="s">
        <v>79</v>
      </c>
      <c r="D111" s="30">
        <v>0</v>
      </c>
      <c r="E111" s="30">
        <v>-42363636</v>
      </c>
      <c r="F111" s="30">
        <v>-681550000</v>
      </c>
      <c r="G111" s="30">
        <v>-1099600000</v>
      </c>
    </row>
    <row r="112" spans="2:9" x14ac:dyDescent="0.35">
      <c r="B112" s="6" t="s">
        <v>80</v>
      </c>
      <c r="D112" s="30">
        <v>-74900000000</v>
      </c>
      <c r="E112" s="30">
        <v>-38400000000</v>
      </c>
      <c r="F112" s="30">
        <v>-11000000000</v>
      </c>
      <c r="G112" s="30">
        <v>-44649689120</v>
      </c>
    </row>
    <row r="113" spans="2:7" x14ac:dyDescent="0.35">
      <c r="B113" s="6" t="s">
        <v>81</v>
      </c>
      <c r="D113" s="30">
        <v>77000000000</v>
      </c>
      <c r="E113" s="30">
        <v>38000000000</v>
      </c>
      <c r="F113" s="30">
        <v>18100000000</v>
      </c>
      <c r="G113" s="30">
        <v>38200000000</v>
      </c>
    </row>
    <row r="114" spans="2:7" x14ac:dyDescent="0.35">
      <c r="B114" s="6" t="s">
        <v>82</v>
      </c>
      <c r="D114" s="30">
        <v>0</v>
      </c>
      <c r="E114" s="30">
        <v>0</v>
      </c>
      <c r="F114" s="30">
        <v>-1948146200</v>
      </c>
      <c r="G114" s="30">
        <v>0</v>
      </c>
    </row>
    <row r="115" spans="2:7" x14ac:dyDescent="0.35">
      <c r="B115" s="6" t="s">
        <v>83</v>
      </c>
      <c r="D115" s="30">
        <v>5191120321</v>
      </c>
      <c r="E115" s="30">
        <v>3175488205</v>
      </c>
      <c r="F115" s="30">
        <v>2000494760</v>
      </c>
      <c r="G115" s="30">
        <v>5383651064</v>
      </c>
    </row>
    <row r="116" spans="2:7" x14ac:dyDescent="0.35">
      <c r="B116" s="9" t="s">
        <v>84</v>
      </c>
      <c r="D116" s="29">
        <f>SUM(D111:D115)</f>
        <v>7291120321</v>
      </c>
      <c r="E116" s="29">
        <f t="shared" ref="E116:G116" si="17">SUM(E111:E115)</f>
        <v>2733124569</v>
      </c>
      <c r="F116" s="29">
        <f t="shared" si="17"/>
        <v>6470798560</v>
      </c>
      <c r="G116" s="29">
        <f t="shared" si="17"/>
        <v>-2165638056</v>
      </c>
    </row>
    <row r="117" spans="2:7" x14ac:dyDescent="0.35">
      <c r="B117" s="6" t="s">
        <v>85</v>
      </c>
      <c r="D117" s="30">
        <v>0</v>
      </c>
      <c r="E117" s="30">
        <v>0</v>
      </c>
      <c r="F117" s="30">
        <v>0</v>
      </c>
      <c r="G117" s="30">
        <v>25989600000</v>
      </c>
    </row>
    <row r="118" spans="2:7" x14ac:dyDescent="0.35">
      <c r="B118" s="6" t="s">
        <v>86</v>
      </c>
      <c r="D118" s="30">
        <v>-3000000000</v>
      </c>
      <c r="E118" s="30">
        <v>-7000000000</v>
      </c>
      <c r="F118" s="30">
        <v>-9000000000</v>
      </c>
      <c r="G118" s="30">
        <v>-5500000000</v>
      </c>
    </row>
    <row r="119" spans="2:7" x14ac:dyDescent="0.35">
      <c r="B119" s="6" t="s">
        <v>87</v>
      </c>
      <c r="D119" s="30">
        <v>-3000000000</v>
      </c>
      <c r="E119" s="30">
        <v>-7000000000</v>
      </c>
      <c r="F119" s="30">
        <v>-9000000000</v>
      </c>
      <c r="G119" s="30">
        <v>20489600000</v>
      </c>
    </row>
    <row r="120" spans="2:7" x14ac:dyDescent="0.35">
      <c r="B120" s="6" t="s">
        <v>88</v>
      </c>
      <c r="D120" s="30">
        <v>956450274</v>
      </c>
      <c r="E120" s="30">
        <v>3028443201</v>
      </c>
      <c r="F120" s="30">
        <v>-4622866473</v>
      </c>
      <c r="G120" s="30">
        <v>27829385617</v>
      </c>
    </row>
    <row r="121" spans="2:7" x14ac:dyDescent="0.35">
      <c r="B121" s="6" t="s">
        <v>89</v>
      </c>
      <c r="D121" s="30">
        <v>5151203286</v>
      </c>
      <c r="E121" s="30">
        <v>6107653560</v>
      </c>
      <c r="F121" s="30">
        <v>6858738973</v>
      </c>
      <c r="G121" s="30">
        <v>2235872500</v>
      </c>
    </row>
    <row r="122" spans="2:7" x14ac:dyDescent="0.35">
      <c r="B122" s="6" t="s">
        <v>90</v>
      </c>
      <c r="D122" s="29">
        <f>SUM(D120:D121)</f>
        <v>6107653560</v>
      </c>
      <c r="E122" s="29">
        <f t="shared" ref="E122:G122" si="18">SUM(E120:E121)</f>
        <v>9136096761</v>
      </c>
      <c r="F122" s="29">
        <f t="shared" si="18"/>
        <v>2235872500</v>
      </c>
      <c r="G122" s="29">
        <f t="shared" si="18"/>
        <v>30065258117</v>
      </c>
    </row>
    <row r="123" spans="2:7" x14ac:dyDescent="0.35">
      <c r="B123" s="21"/>
    </row>
  </sheetData>
  <conditionalFormatting sqref="D18">
    <cfRule type="cellIs" dxfId="28" priority="459" operator="greaterThan">
      <formula>0</formula>
    </cfRule>
    <cfRule type="cellIs" dxfId="27" priority="461" operator="lessThan">
      <formula>0</formula>
    </cfRule>
  </conditionalFormatting>
  <conditionalFormatting sqref="D18:E18">
    <cfRule type="cellIs" dxfId="26" priority="460" operator="greaterThan">
      <formula>0</formula>
    </cfRule>
  </conditionalFormatting>
  <conditionalFormatting sqref="D4:G17">
    <cfRule type="cellIs" dxfId="25" priority="59" operator="lessThan">
      <formula>0</formula>
    </cfRule>
    <cfRule type="cellIs" dxfId="24" priority="60" operator="greaterThan">
      <formula>0</formula>
    </cfRule>
  </conditionalFormatting>
  <conditionalFormatting sqref="D20:G29 F30:G30 D31:G33 H104">
    <cfRule type="cellIs" dxfId="23" priority="99" operator="lessThan">
      <formula>0</formula>
    </cfRule>
    <cfRule type="cellIs" dxfId="22" priority="100" operator="greaterThan">
      <formula>0</formula>
    </cfRule>
  </conditionalFormatting>
  <conditionalFormatting sqref="D38:G46">
    <cfRule type="cellIs" dxfId="21" priority="75" operator="lessThan">
      <formula>0</formula>
    </cfRule>
    <cfRule type="cellIs" dxfId="20" priority="76" operator="greaterThan">
      <formula>0</formula>
    </cfRule>
  </conditionalFormatting>
  <conditionalFormatting sqref="D48:G53">
    <cfRule type="cellIs" dxfId="19" priority="77" operator="lessThan">
      <formula>0</formula>
    </cfRule>
    <cfRule type="cellIs" dxfId="18" priority="78" operator="greaterThan">
      <formula>0</formula>
    </cfRule>
  </conditionalFormatting>
  <conditionalFormatting sqref="D61:G77 D80:G99">
    <cfRule type="cellIs" dxfId="17" priority="33" operator="lessThan">
      <formula>0</formula>
    </cfRule>
    <cfRule type="cellIs" dxfId="16" priority="34" operator="greaterThan">
      <formula>0</formula>
    </cfRule>
  </conditionalFormatting>
  <conditionalFormatting sqref="D104:G122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F18">
    <cfRule type="cellIs" dxfId="13" priority="73" operator="lessThan">
      <formula>0</formula>
    </cfRule>
    <cfRule type="cellIs" dxfId="12" priority="74" operator="greaterThan">
      <formula>0</formula>
    </cfRule>
  </conditionalFormatting>
  <conditionalFormatting sqref="H4">
    <cfRule type="cellIs" dxfId="11" priority="386" operator="lessThan">
      <formula>0</formula>
    </cfRule>
    <cfRule type="cellIs" dxfId="10" priority="387" operator="greaterThan">
      <formula>0</formula>
    </cfRule>
  </conditionalFormatting>
  <conditionalFormatting sqref="H6:H12">
    <cfRule type="cellIs" dxfId="9" priority="67" operator="lessThan">
      <formula>0</formula>
    </cfRule>
    <cfRule type="cellIs" dxfId="8" priority="68" operator="greaterThan">
      <formula>0</formula>
    </cfRule>
  </conditionalFormatting>
  <conditionalFormatting sqref="H14:H16">
    <cfRule type="cellIs" dxfId="7" priority="327" operator="lessThan">
      <formula>0</formula>
    </cfRule>
    <cfRule type="cellIs" dxfId="6" priority="328" operator="greaterThan">
      <formula>0</formula>
    </cfRule>
  </conditionalFormatting>
  <conditionalFormatting sqref="H21:I21">
    <cfRule type="cellIs" dxfId="5" priority="303" operator="lessThan">
      <formula>0</formula>
    </cfRule>
    <cfRule type="cellIs" dxfId="4" priority="304" operator="greaterThan">
      <formula>0</formula>
    </cfRule>
  </conditionalFormatting>
  <conditionalFormatting sqref="H23:J23">
    <cfRule type="cellIs" dxfId="3" priority="448" operator="greaterThan">
      <formula>0</formula>
    </cfRule>
  </conditionalFormatting>
  <conditionalFormatting sqref="H26:J26">
    <cfRule type="cellIs" dxfId="2" priority="444" operator="greaterThan">
      <formula>0</formula>
    </cfRule>
  </conditionalFormatting>
  <conditionalFormatting sqref="P5 D18:E18 G18">
    <cfRule type="cellIs" dxfId="1" priority="456" operator="lessThan">
      <formula>0</formula>
    </cfRule>
  </conditionalFormatting>
  <conditionalFormatting sqref="P5 H13:J13 E18 G18">
    <cfRule type="cellIs" dxfId="0" priority="457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9056-4AAB-4B76-AA96-4160602CD68C}">
  <dimension ref="A1:E15"/>
  <sheetViews>
    <sheetView workbookViewId="0">
      <selection sqref="A1:E15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54</v>
      </c>
      <c r="B2">
        <v>38144413277</v>
      </c>
      <c r="C2">
        <v>35997699472</v>
      </c>
      <c r="D2">
        <v>49622139061</v>
      </c>
      <c r="E2">
        <v>54005048948</v>
      </c>
    </row>
    <row r="3" spans="1:5" x14ac:dyDescent="0.35">
      <c r="A3" s="1" t="s">
        <v>55</v>
      </c>
      <c r="B3">
        <v>38144413277</v>
      </c>
      <c r="C3">
        <v>35997699472</v>
      </c>
      <c r="D3">
        <v>49622139061</v>
      </c>
      <c r="E3">
        <v>54005048948</v>
      </c>
    </row>
    <row r="4" spans="1:5" x14ac:dyDescent="0.35">
      <c r="A4" s="1" t="s">
        <v>56</v>
      </c>
      <c r="B4">
        <v>21418870453</v>
      </c>
      <c r="C4">
        <v>17417679758</v>
      </c>
      <c r="D4">
        <v>28393723250</v>
      </c>
      <c r="E4">
        <v>30584706537</v>
      </c>
    </row>
    <row r="5" spans="1:5" x14ac:dyDescent="0.35">
      <c r="A5" s="1" t="s">
        <v>57</v>
      </c>
      <c r="B5">
        <v>16725542824</v>
      </c>
      <c r="C5">
        <v>18580019714</v>
      </c>
      <c r="D5">
        <v>21228415811</v>
      </c>
      <c r="E5">
        <v>23420342411</v>
      </c>
    </row>
    <row r="6" spans="1:5" x14ac:dyDescent="0.35">
      <c r="A6" s="1" t="s">
        <v>58</v>
      </c>
      <c r="B6">
        <v>4304359772</v>
      </c>
      <c r="C6">
        <v>3715582729</v>
      </c>
      <c r="D6">
        <v>5051119961</v>
      </c>
      <c r="E6">
        <v>3397883768</v>
      </c>
    </row>
    <row r="7" spans="1:5" x14ac:dyDescent="0.35">
      <c r="A7" s="1" t="s">
        <v>59</v>
      </c>
      <c r="B7">
        <v>13913885</v>
      </c>
      <c r="C7">
        <v>14059803</v>
      </c>
      <c r="D7">
        <v>15790279</v>
      </c>
      <c r="E7">
        <v>23695734</v>
      </c>
    </row>
    <row r="8" spans="1:5" x14ac:dyDescent="0.35">
      <c r="A8" s="1" t="s">
        <v>60</v>
      </c>
      <c r="B8">
        <v>14464977253</v>
      </c>
      <c r="C8">
        <v>11985035737</v>
      </c>
      <c r="D8">
        <v>16716059975</v>
      </c>
      <c r="E8">
        <v>17682194387</v>
      </c>
    </row>
    <row r="9" spans="1:5" x14ac:dyDescent="0.35">
      <c r="A9" s="1" t="s">
        <v>61</v>
      </c>
      <c r="B9">
        <v>6551011458</v>
      </c>
      <c r="C9">
        <v>10296506903</v>
      </c>
      <c r="D9">
        <v>9547685518</v>
      </c>
      <c r="E9">
        <v>9112336058</v>
      </c>
    </row>
    <row r="10" spans="1:5" x14ac:dyDescent="0.35">
      <c r="A10" s="1" t="s">
        <v>62</v>
      </c>
      <c r="B10">
        <v>0</v>
      </c>
      <c r="C10">
        <v>60000000</v>
      </c>
      <c r="D10">
        <v>0</v>
      </c>
      <c r="E10">
        <v>126342453</v>
      </c>
    </row>
    <row r="11" spans="1:5" x14ac:dyDescent="0.35">
      <c r="A11" s="1" t="s">
        <v>63</v>
      </c>
      <c r="B11">
        <v>0</v>
      </c>
      <c r="C11">
        <v>-60000000</v>
      </c>
      <c r="D11">
        <v>0</v>
      </c>
      <c r="E11">
        <v>-126342453</v>
      </c>
    </row>
    <row r="12" spans="1:5" x14ac:dyDescent="0.35">
      <c r="A12" s="1" t="s">
        <v>64</v>
      </c>
      <c r="B12">
        <v>6551011458</v>
      </c>
      <c r="C12">
        <v>10236506903</v>
      </c>
      <c r="D12">
        <v>9547685518</v>
      </c>
      <c r="E12">
        <v>8985933605</v>
      </c>
    </row>
    <row r="13" spans="1:5" x14ac:dyDescent="0.35">
      <c r="A13" s="1" t="s">
        <v>65</v>
      </c>
      <c r="B13">
        <v>917202729</v>
      </c>
      <c r="C13">
        <v>2100987095</v>
      </c>
      <c r="D13">
        <v>2336186816</v>
      </c>
      <c r="E13">
        <v>2033023429</v>
      </c>
    </row>
    <row r="14" spans="1:5" x14ac:dyDescent="0.35">
      <c r="A14" s="1" t="s">
        <v>66</v>
      </c>
      <c r="B14">
        <v>5633808729</v>
      </c>
      <c r="C14">
        <v>8135519808</v>
      </c>
      <c r="D14">
        <v>7211498702</v>
      </c>
      <c r="E14">
        <v>6352970176</v>
      </c>
    </row>
    <row r="15" spans="1:5" x14ac:dyDescent="0.35">
      <c r="A15" s="1" t="s">
        <v>67</v>
      </c>
      <c r="B15">
        <v>1014</v>
      </c>
      <c r="C15">
        <v>1562</v>
      </c>
      <c r="D15">
        <v>1259</v>
      </c>
      <c r="E15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Vu Nguyen</cp:lastModifiedBy>
  <dcterms:created xsi:type="dcterms:W3CDTF">2025-10-28T11:58:43Z</dcterms:created>
  <dcterms:modified xsi:type="dcterms:W3CDTF">2025-10-29T05:55:54Z</dcterms:modified>
</cp:coreProperties>
</file>